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a-my.sharepoint.com/personal/i_starinskij_1_research_gla_ac_uk/Documents/Documents/Scripts/Starinskij-PhD-code/data/example.inputs/"/>
    </mc:Choice>
  </mc:AlternateContent>
  <xr:revisionPtr revIDLastSave="96" documentId="11_65568820CCE5AEB1ED42108DDA6AA84570C6E27F" xr6:coauthVersionLast="47" xr6:coauthVersionMax="47" xr10:uidLastSave="{5C0101EF-4A45-49AC-86E4-FF8E5AD2AFC8}"/>
  <bookViews>
    <workbookView xWindow="-110" yWindow="-110" windowWidth="38620" windowHeight="21100" xr2:uid="{00000000-000D-0000-FFFF-FFFF00000000}"/>
  </bookViews>
  <sheets>
    <sheet name="all" sheetId="1" r:id="rId1"/>
  </sheets>
  <definedNames>
    <definedName name="_xlnm._FilterDatabase" localSheetId="0" hidden="1">all!$A$1:$V$45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D18" i="1" s="1"/>
  <c r="C39" i="1"/>
  <c r="D39" i="1" s="1"/>
  <c r="C45" i="1"/>
  <c r="D45" i="1" s="1"/>
  <c r="C44" i="1"/>
  <c r="D44" i="1" s="1"/>
  <c r="C43" i="1"/>
  <c r="D43" i="1" s="1"/>
  <c r="C41" i="1"/>
  <c r="D41" i="1" s="1"/>
  <c r="C40" i="1"/>
  <c r="D40" i="1" s="1"/>
  <c r="C34" i="1"/>
  <c r="D34" i="1" s="1"/>
  <c r="C37" i="1"/>
  <c r="D37" i="1" s="1"/>
  <c r="C36" i="1"/>
  <c r="D36" i="1" s="1"/>
  <c r="C35" i="1"/>
  <c r="D35" i="1" s="1"/>
  <c r="C38" i="1"/>
  <c r="D38" i="1" s="1"/>
  <c r="C33" i="1"/>
  <c r="D33" i="1" s="1"/>
  <c r="C32" i="1"/>
  <c r="D32" i="1" s="1"/>
  <c r="C31" i="1"/>
  <c r="D31" i="1" s="1"/>
  <c r="C30" i="1"/>
  <c r="D30" i="1" s="1"/>
  <c r="C29" i="1"/>
  <c r="D29" i="1" s="1"/>
  <c r="C28" i="1"/>
  <c r="D28" i="1" s="1"/>
  <c r="C27" i="1"/>
  <c r="D27" i="1" s="1"/>
  <c r="C26" i="1"/>
  <c r="D26" i="1" s="1"/>
  <c r="C25" i="1"/>
  <c r="D25" i="1" s="1"/>
  <c r="C24" i="1"/>
  <c r="D24" i="1" s="1"/>
  <c r="C23" i="1"/>
  <c r="D23" i="1" s="1"/>
  <c r="C22" i="1"/>
  <c r="D22" i="1" s="1"/>
  <c r="C21" i="1"/>
  <c r="D21" i="1" s="1"/>
  <c r="C20" i="1"/>
  <c r="D20" i="1" s="1"/>
  <c r="C19" i="1"/>
  <c r="D19" i="1" s="1"/>
  <c r="C42" i="1"/>
  <c r="D42" i="1" s="1"/>
  <c r="C17" i="1"/>
  <c r="D17" i="1" s="1"/>
  <c r="C16" i="1"/>
  <c r="D16" i="1" s="1"/>
  <c r="C15" i="1"/>
  <c r="D15" i="1" s="1"/>
  <c r="C14" i="1"/>
  <c r="D14" i="1" s="1"/>
  <c r="C13" i="1"/>
  <c r="D13" i="1" s="1"/>
  <c r="C12" i="1"/>
  <c r="D12" i="1" s="1"/>
  <c r="C11" i="1"/>
  <c r="D11" i="1" s="1"/>
  <c r="C10" i="1"/>
  <c r="D10" i="1" s="1"/>
  <c r="C9" i="1"/>
  <c r="D9" i="1" s="1"/>
  <c r="C8" i="1"/>
  <c r="D8" i="1" s="1"/>
  <c r="C7" i="1"/>
  <c r="D7" i="1" s="1"/>
  <c r="C6" i="1"/>
  <c r="D6" i="1" s="1"/>
  <c r="C5" i="1"/>
  <c r="D5" i="1" s="1"/>
  <c r="C4" i="1"/>
  <c r="D4" i="1" s="1"/>
  <c r="C3" i="1"/>
  <c r="D3" i="1" s="1"/>
  <c r="C2" i="1"/>
  <c r="D2" i="1" s="1"/>
</calcChain>
</file>

<file path=xl/sharedStrings.xml><?xml version="1.0" encoding="utf-8"?>
<sst xmlns="http://schemas.openxmlformats.org/spreadsheetml/2006/main" count="139" uniqueCount="65">
  <si>
    <t>neg</t>
  </si>
  <si>
    <t>Female</t>
  </si>
  <si>
    <t>Average</t>
  </si>
  <si>
    <t>Midlands</t>
  </si>
  <si>
    <t>pos</t>
  </si>
  <si>
    <t>Good</t>
  </si>
  <si>
    <t>Poor</t>
  </si>
  <si>
    <t>Juvenile</t>
  </si>
  <si>
    <t>Male</t>
  </si>
  <si>
    <t>Old</t>
  </si>
  <si>
    <t>Red</t>
  </si>
  <si>
    <t>Derbyshire</t>
  </si>
  <si>
    <t>Sample</t>
  </si>
  <si>
    <t>Conf</t>
  </si>
  <si>
    <t>Call</t>
  </si>
  <si>
    <t>bin</t>
  </si>
  <si>
    <t>Species</t>
  </si>
  <si>
    <t>Sex</t>
  </si>
  <si>
    <t>Age</t>
  </si>
  <si>
    <t>Condition</t>
  </si>
  <si>
    <t>Habitat</t>
  </si>
  <si>
    <t>County</t>
  </si>
  <si>
    <t>DateShot</t>
  </si>
  <si>
    <t>Q</t>
  </si>
  <si>
    <t>Overall_sample_condition</t>
  </si>
  <si>
    <t>county_map</t>
  </si>
  <si>
    <t>Region</t>
  </si>
  <si>
    <t>Species_grp</t>
  </si>
  <si>
    <t>Forest</t>
  </si>
  <si>
    <t>Period</t>
  </si>
  <si>
    <t>Neut</t>
  </si>
  <si>
    <t>neut01</t>
  </si>
  <si>
    <t>pVNT50</t>
  </si>
  <si>
    <t>SP</t>
  </si>
  <si>
    <t>eq</t>
  </si>
  <si>
    <t>na</t>
  </si>
  <si>
    <t>Other</t>
  </si>
  <si>
    <t>sample12</t>
  </si>
  <si>
    <t>sample7</t>
  </si>
  <si>
    <t>sample18</t>
  </si>
  <si>
    <t>sample3</t>
  </si>
  <si>
    <t>sample4</t>
  </si>
  <si>
    <t>sample17</t>
  </si>
  <si>
    <t>sample8</t>
  </si>
  <si>
    <t>sample9</t>
  </si>
  <si>
    <t>sample23</t>
  </si>
  <si>
    <t>sample10</t>
  </si>
  <si>
    <t>sample6</t>
  </si>
  <si>
    <t>sample13</t>
  </si>
  <si>
    <t>sample5</t>
  </si>
  <si>
    <t>sample1</t>
  </si>
  <si>
    <t>sample19</t>
  </si>
  <si>
    <t>sample22</t>
  </si>
  <si>
    <t>sample14</t>
  </si>
  <si>
    <t>sample15</t>
  </si>
  <si>
    <t>sample11</t>
  </si>
  <si>
    <t>sample21</t>
  </si>
  <si>
    <t>sample24</t>
  </si>
  <si>
    <t>Rabbit</t>
  </si>
  <si>
    <t>Decidious forest</t>
  </si>
  <si>
    <t>Arable land</t>
  </si>
  <si>
    <t>2026_Q1</t>
  </si>
  <si>
    <t>Derbyshire, Nottinghamshire</t>
  </si>
  <si>
    <t>Non-forest</t>
  </si>
  <si>
    <t>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</si>
</sst>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14" fontId="0" fillId="0" borderId="0" xfId="0" applyNumberFormat="1"/>
    <xf numFmtId="2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5"/>
  <sheetViews>
    <sheetView tabSelected="1" workbookViewId="0">
      <selection activeCell="B4" sqref="B4"/>
    </sheetView>
  </sheetViews>
  <sheetFormatPr defaultRowHeight="14.5" x14ac:dyDescent="0.35"/>
  <cols>
    <col min="1" max="1" width="10.54296875" bestFit="1" customWidth="1"/>
    <col min="2" max="2" width="6.90625" bestFit="1" customWidth="1"/>
    <col min="3" max="3" width="6.26953125" bestFit="1" customWidth="1"/>
    <col min="4" max="4" width="5.54296875" bestFit="1" customWidth="1"/>
    <col min="5" max="5" width="13.26953125" bestFit="1" customWidth="1"/>
    <col min="6" max="6" width="6.81640625" bestFit="1" customWidth="1"/>
    <col min="7" max="7" width="7.26953125" bestFit="1" customWidth="1"/>
    <col min="8" max="8" width="10.90625" bestFit="1" customWidth="1"/>
    <col min="9" max="9" width="15.26953125" bestFit="1" customWidth="1"/>
    <col min="10" max="10" width="27.54296875" bestFit="1" customWidth="1"/>
    <col min="11" max="11" width="10.6328125" bestFit="1" customWidth="1"/>
    <col min="12" max="12" width="7.81640625" bestFit="1" customWidth="1"/>
    <col min="13" max="13" width="24.1796875" bestFit="1" customWidth="1"/>
    <col min="14" max="14" width="52" bestFit="1" customWidth="1"/>
    <col min="15" max="15" width="17.26953125" bestFit="1" customWidth="1"/>
    <col min="16" max="16" width="12.81640625" bestFit="1" customWidth="1"/>
    <col min="17" max="18" width="8.26953125" bestFit="1" customWidth="1"/>
  </cols>
  <sheetData>
    <row r="1" spans="1:22" x14ac:dyDescent="0.35">
      <c r="A1" t="s">
        <v>12</v>
      </c>
      <c r="B1" t="s">
        <v>13</v>
      </c>
      <c r="C1" t="s">
        <v>14</v>
      </c>
      <c r="D1" t="s">
        <v>15</v>
      </c>
      <c r="E1" s="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</row>
    <row r="2" spans="1:22" x14ac:dyDescent="0.35">
      <c r="A2" t="s">
        <v>37</v>
      </c>
      <c r="B2" t="s">
        <v>4</v>
      </c>
      <c r="C2" t="str">
        <f t="shared" ref="C2:C17" si="0">IF(OR(B2="pos", B2="positive"), "pos","neg")</f>
        <v>pos</v>
      </c>
      <c r="D2">
        <f t="shared" ref="D2:D17" si="1">IF(C2="pos",1,0)</f>
        <v>1</v>
      </c>
      <c r="E2" t="s">
        <v>10</v>
      </c>
      <c r="F2" t="s">
        <v>8</v>
      </c>
      <c r="G2" t="s">
        <v>9</v>
      </c>
      <c r="H2" t="s">
        <v>6</v>
      </c>
      <c r="I2" t="s">
        <v>59</v>
      </c>
      <c r="J2" t="s">
        <v>11</v>
      </c>
      <c r="K2" s="2">
        <v>46023</v>
      </c>
      <c r="L2" s="3" t="s">
        <v>61</v>
      </c>
      <c r="M2" t="s">
        <v>5</v>
      </c>
      <c r="N2" t="s">
        <v>62</v>
      </c>
      <c r="O2" t="s">
        <v>3</v>
      </c>
      <c r="P2" t="s">
        <v>10</v>
      </c>
      <c r="Q2" t="s">
        <v>28</v>
      </c>
      <c r="R2" t="s">
        <v>64</v>
      </c>
      <c r="S2" t="s">
        <v>4</v>
      </c>
      <c r="T2">
        <v>1</v>
      </c>
      <c r="U2">
        <v>422</v>
      </c>
      <c r="V2">
        <v>0.442</v>
      </c>
    </row>
    <row r="3" spans="1:22" x14ac:dyDescent="0.35">
      <c r="A3" t="s">
        <v>38</v>
      </c>
      <c r="B3" t="s">
        <v>0</v>
      </c>
      <c r="C3" t="str">
        <f t="shared" si="0"/>
        <v>neg</v>
      </c>
      <c r="D3">
        <f t="shared" si="1"/>
        <v>0</v>
      </c>
      <c r="E3" t="s">
        <v>58</v>
      </c>
      <c r="F3" t="s">
        <v>1</v>
      </c>
      <c r="G3" t="s">
        <v>7</v>
      </c>
      <c r="H3" t="s">
        <v>2</v>
      </c>
      <c r="I3" t="s">
        <v>60</v>
      </c>
      <c r="J3" t="s">
        <v>11</v>
      </c>
      <c r="K3" s="2">
        <v>46023</v>
      </c>
      <c r="L3" s="3" t="s">
        <v>61</v>
      </c>
      <c r="M3" t="s">
        <v>6</v>
      </c>
      <c r="N3" t="s">
        <v>62</v>
      </c>
      <c r="O3" t="s">
        <v>3</v>
      </c>
      <c r="P3" t="s">
        <v>36</v>
      </c>
      <c r="Q3" t="s">
        <v>63</v>
      </c>
      <c r="R3" t="s">
        <v>64</v>
      </c>
      <c r="S3" t="s">
        <v>0</v>
      </c>
      <c r="T3">
        <v>0</v>
      </c>
      <c r="U3" t="s">
        <v>35</v>
      </c>
      <c r="V3">
        <v>2.5000000000000001E-2</v>
      </c>
    </row>
    <row r="4" spans="1:22" x14ac:dyDescent="0.35">
      <c r="A4" t="s">
        <v>39</v>
      </c>
      <c r="B4" t="s">
        <v>4</v>
      </c>
      <c r="C4" t="str">
        <f t="shared" si="0"/>
        <v>pos</v>
      </c>
      <c r="D4">
        <f t="shared" si="1"/>
        <v>1</v>
      </c>
      <c r="K4" s="2"/>
      <c r="L4" s="3"/>
    </row>
    <row r="5" spans="1:22" x14ac:dyDescent="0.35">
      <c r="A5" t="s">
        <v>40</v>
      </c>
      <c r="B5" t="s">
        <v>4</v>
      </c>
      <c r="C5" t="str">
        <f t="shared" si="0"/>
        <v>pos</v>
      </c>
      <c r="D5">
        <f t="shared" si="1"/>
        <v>1</v>
      </c>
      <c r="K5" s="2"/>
      <c r="L5" s="3"/>
    </row>
    <row r="6" spans="1:22" x14ac:dyDescent="0.35">
      <c r="A6" t="s">
        <v>39</v>
      </c>
      <c r="B6" t="s">
        <v>4</v>
      </c>
      <c r="C6" t="str">
        <f t="shared" si="0"/>
        <v>pos</v>
      </c>
      <c r="D6">
        <f t="shared" si="1"/>
        <v>1</v>
      </c>
      <c r="K6" s="2"/>
      <c r="L6" s="3"/>
    </row>
    <row r="7" spans="1:22" x14ac:dyDescent="0.35">
      <c r="A7" t="s">
        <v>41</v>
      </c>
      <c r="B7" t="s">
        <v>4</v>
      </c>
      <c r="C7" t="str">
        <f t="shared" si="0"/>
        <v>pos</v>
      </c>
      <c r="D7">
        <f t="shared" si="1"/>
        <v>1</v>
      </c>
      <c r="K7" s="2"/>
      <c r="L7" s="3"/>
    </row>
    <row r="8" spans="1:22" x14ac:dyDescent="0.35">
      <c r="A8" t="s">
        <v>42</v>
      </c>
      <c r="B8" t="s">
        <v>4</v>
      </c>
      <c r="C8" t="str">
        <f t="shared" si="0"/>
        <v>pos</v>
      </c>
      <c r="D8">
        <f t="shared" si="1"/>
        <v>1</v>
      </c>
      <c r="K8" s="2"/>
      <c r="L8" s="3"/>
    </row>
    <row r="9" spans="1:22" x14ac:dyDescent="0.35">
      <c r="A9" t="s">
        <v>43</v>
      </c>
      <c r="B9" t="s">
        <v>4</v>
      </c>
      <c r="C9" t="str">
        <f t="shared" si="0"/>
        <v>pos</v>
      </c>
      <c r="D9">
        <f t="shared" si="1"/>
        <v>1</v>
      </c>
      <c r="K9" s="2"/>
      <c r="L9" s="3"/>
    </row>
    <row r="10" spans="1:22" x14ac:dyDescent="0.35">
      <c r="A10" t="s">
        <v>44</v>
      </c>
      <c r="B10" t="s">
        <v>4</v>
      </c>
      <c r="C10" t="str">
        <f t="shared" si="0"/>
        <v>pos</v>
      </c>
      <c r="D10">
        <f t="shared" si="1"/>
        <v>1</v>
      </c>
      <c r="K10" s="2"/>
      <c r="L10" s="3"/>
    </row>
    <row r="11" spans="1:22" x14ac:dyDescent="0.35">
      <c r="A11" t="s">
        <v>45</v>
      </c>
      <c r="B11" t="s">
        <v>4</v>
      </c>
      <c r="C11" t="str">
        <f t="shared" si="0"/>
        <v>pos</v>
      </c>
      <c r="D11">
        <f t="shared" si="1"/>
        <v>1</v>
      </c>
      <c r="K11" s="2"/>
      <c r="L11" s="3"/>
    </row>
    <row r="12" spans="1:22" x14ac:dyDescent="0.35">
      <c r="A12" t="s">
        <v>46</v>
      </c>
      <c r="B12" t="s">
        <v>4</v>
      </c>
      <c r="C12" t="str">
        <f t="shared" si="0"/>
        <v>pos</v>
      </c>
      <c r="D12">
        <f t="shared" si="1"/>
        <v>1</v>
      </c>
      <c r="K12" s="2"/>
      <c r="L12" s="3"/>
    </row>
    <row r="13" spans="1:22" x14ac:dyDescent="0.35">
      <c r="A13" t="s">
        <v>47</v>
      </c>
      <c r="B13" t="s">
        <v>4</v>
      </c>
      <c r="C13" t="str">
        <f t="shared" si="0"/>
        <v>pos</v>
      </c>
      <c r="D13">
        <f t="shared" si="1"/>
        <v>1</v>
      </c>
      <c r="K13" s="2"/>
      <c r="L13" s="3"/>
    </row>
    <row r="14" spans="1:22" x14ac:dyDescent="0.35">
      <c r="A14" t="s">
        <v>45</v>
      </c>
      <c r="B14" t="s">
        <v>4</v>
      </c>
      <c r="C14" t="str">
        <f t="shared" si="0"/>
        <v>pos</v>
      </c>
      <c r="D14">
        <f t="shared" si="1"/>
        <v>1</v>
      </c>
      <c r="K14" s="2"/>
      <c r="L14" s="3"/>
    </row>
    <row r="15" spans="1:22" x14ac:dyDescent="0.35">
      <c r="A15" t="s">
        <v>39</v>
      </c>
      <c r="B15" t="s">
        <v>4</v>
      </c>
      <c r="C15" t="str">
        <f t="shared" si="0"/>
        <v>pos</v>
      </c>
      <c r="D15">
        <f t="shared" si="1"/>
        <v>1</v>
      </c>
      <c r="K15" s="2"/>
      <c r="L15" s="3"/>
    </row>
    <row r="16" spans="1:22" x14ac:dyDescent="0.35">
      <c r="A16" t="s">
        <v>48</v>
      </c>
      <c r="B16" t="s">
        <v>4</v>
      </c>
      <c r="C16" t="str">
        <f t="shared" si="0"/>
        <v>pos</v>
      </c>
      <c r="D16">
        <f t="shared" si="1"/>
        <v>1</v>
      </c>
      <c r="K16" s="2"/>
      <c r="L16" s="3"/>
    </row>
    <row r="17" spans="1:12" x14ac:dyDescent="0.35">
      <c r="A17" t="s">
        <v>49</v>
      </c>
      <c r="B17" t="s">
        <v>4</v>
      </c>
      <c r="C17" t="str">
        <f t="shared" si="0"/>
        <v>pos</v>
      </c>
      <c r="D17">
        <f t="shared" si="1"/>
        <v>1</v>
      </c>
      <c r="K17" s="2"/>
      <c r="L17" s="3"/>
    </row>
    <row r="18" spans="1:12" x14ac:dyDescent="0.35">
      <c r="A18" t="s">
        <v>41</v>
      </c>
      <c r="B18" t="s">
        <v>4</v>
      </c>
      <c r="C18" t="str">
        <f t="shared" ref="C18:C45" si="2">IF(OR(B18="pos", B18="positive"), "pos","neg")</f>
        <v>pos</v>
      </c>
      <c r="D18">
        <f t="shared" ref="D18:D45" si="3">IF(C18="pos",1,0)</f>
        <v>1</v>
      </c>
      <c r="K18" s="2"/>
      <c r="L18" s="3"/>
    </row>
    <row r="19" spans="1:12" x14ac:dyDescent="0.35">
      <c r="A19" t="s">
        <v>45</v>
      </c>
      <c r="B19" t="s">
        <v>4</v>
      </c>
      <c r="C19" t="str">
        <f t="shared" si="2"/>
        <v>pos</v>
      </c>
      <c r="D19">
        <f t="shared" si="3"/>
        <v>1</v>
      </c>
      <c r="K19" s="2"/>
      <c r="L19" s="3"/>
    </row>
    <row r="20" spans="1:12" x14ac:dyDescent="0.35">
      <c r="A20" t="s">
        <v>49</v>
      </c>
      <c r="B20" t="s">
        <v>4</v>
      </c>
      <c r="C20" t="str">
        <f t="shared" si="2"/>
        <v>pos</v>
      </c>
      <c r="D20">
        <f t="shared" si="3"/>
        <v>1</v>
      </c>
      <c r="K20" s="2"/>
      <c r="L20" s="3"/>
    </row>
    <row r="21" spans="1:12" x14ac:dyDescent="0.35">
      <c r="A21" t="s">
        <v>41</v>
      </c>
      <c r="B21" t="s">
        <v>4</v>
      </c>
      <c r="C21" t="str">
        <f t="shared" si="2"/>
        <v>pos</v>
      </c>
      <c r="D21">
        <f t="shared" si="3"/>
        <v>1</v>
      </c>
      <c r="K21" s="2"/>
      <c r="L21" s="3"/>
    </row>
    <row r="22" spans="1:12" x14ac:dyDescent="0.35">
      <c r="A22" t="s">
        <v>45</v>
      </c>
      <c r="B22" t="s">
        <v>4</v>
      </c>
      <c r="C22" t="str">
        <f t="shared" si="2"/>
        <v>pos</v>
      </c>
      <c r="D22">
        <f t="shared" si="3"/>
        <v>1</v>
      </c>
      <c r="K22" s="2"/>
      <c r="L22" s="3"/>
    </row>
    <row r="23" spans="1:12" x14ac:dyDescent="0.35">
      <c r="A23" t="s">
        <v>41</v>
      </c>
      <c r="B23" t="s">
        <v>4</v>
      </c>
      <c r="C23" t="str">
        <f t="shared" si="2"/>
        <v>pos</v>
      </c>
      <c r="D23">
        <f t="shared" si="3"/>
        <v>1</v>
      </c>
      <c r="K23" s="2"/>
      <c r="L23" s="3"/>
    </row>
    <row r="24" spans="1:12" x14ac:dyDescent="0.35">
      <c r="A24" t="s">
        <v>48</v>
      </c>
      <c r="B24" t="s">
        <v>4</v>
      </c>
      <c r="C24" t="str">
        <f t="shared" si="2"/>
        <v>pos</v>
      </c>
      <c r="D24">
        <f t="shared" si="3"/>
        <v>1</v>
      </c>
      <c r="K24" s="2"/>
      <c r="L24" s="3"/>
    </row>
    <row r="25" spans="1:12" x14ac:dyDescent="0.35">
      <c r="A25" t="s">
        <v>50</v>
      </c>
      <c r="B25" t="s">
        <v>4</v>
      </c>
      <c r="C25" t="str">
        <f t="shared" si="2"/>
        <v>pos</v>
      </c>
      <c r="D25">
        <f t="shared" si="3"/>
        <v>1</v>
      </c>
      <c r="K25" s="2"/>
      <c r="L25" s="3"/>
    </row>
    <row r="26" spans="1:12" x14ac:dyDescent="0.35">
      <c r="A26" t="s">
        <v>51</v>
      </c>
      <c r="B26" t="s">
        <v>4</v>
      </c>
      <c r="C26" t="str">
        <f t="shared" si="2"/>
        <v>pos</v>
      </c>
      <c r="D26">
        <f t="shared" si="3"/>
        <v>1</v>
      </c>
      <c r="K26" s="2"/>
      <c r="L26" s="3"/>
    </row>
    <row r="27" spans="1:12" x14ac:dyDescent="0.35">
      <c r="A27" t="s">
        <v>52</v>
      </c>
      <c r="B27" t="s">
        <v>4</v>
      </c>
      <c r="C27" t="str">
        <f t="shared" si="2"/>
        <v>pos</v>
      </c>
      <c r="D27">
        <f t="shared" si="3"/>
        <v>1</v>
      </c>
      <c r="K27" s="2"/>
      <c r="L27" s="3"/>
    </row>
    <row r="28" spans="1:12" x14ac:dyDescent="0.35">
      <c r="A28" t="s">
        <v>38</v>
      </c>
      <c r="B28" t="s">
        <v>4</v>
      </c>
      <c r="C28" t="str">
        <f t="shared" si="2"/>
        <v>pos</v>
      </c>
      <c r="D28">
        <f t="shared" si="3"/>
        <v>1</v>
      </c>
      <c r="K28" s="2"/>
      <c r="L28" s="3"/>
    </row>
    <row r="29" spans="1:12" x14ac:dyDescent="0.35">
      <c r="A29" t="s">
        <v>42</v>
      </c>
      <c r="B29" t="s">
        <v>4</v>
      </c>
      <c r="C29" t="str">
        <f t="shared" si="2"/>
        <v>pos</v>
      </c>
      <c r="D29">
        <f t="shared" si="3"/>
        <v>1</v>
      </c>
      <c r="K29" s="2"/>
      <c r="L29" s="3"/>
    </row>
    <row r="30" spans="1:12" x14ac:dyDescent="0.35">
      <c r="A30" t="s">
        <v>53</v>
      </c>
      <c r="B30" t="s">
        <v>34</v>
      </c>
      <c r="C30" t="str">
        <f t="shared" si="2"/>
        <v>neg</v>
      </c>
      <c r="D30">
        <f t="shared" si="3"/>
        <v>0</v>
      </c>
      <c r="K30" s="2"/>
      <c r="L30" s="3"/>
    </row>
    <row r="31" spans="1:12" x14ac:dyDescent="0.35">
      <c r="A31" t="s">
        <v>40</v>
      </c>
      <c r="B31" t="s">
        <v>34</v>
      </c>
      <c r="C31" t="str">
        <f t="shared" si="2"/>
        <v>neg</v>
      </c>
      <c r="D31">
        <f t="shared" si="3"/>
        <v>0</v>
      </c>
      <c r="K31" s="2"/>
      <c r="L31" s="3"/>
    </row>
    <row r="32" spans="1:12" x14ac:dyDescent="0.35">
      <c r="A32" t="s">
        <v>37</v>
      </c>
      <c r="B32" t="s">
        <v>34</v>
      </c>
      <c r="C32" t="str">
        <f t="shared" si="2"/>
        <v>neg</v>
      </c>
      <c r="D32">
        <f t="shared" si="3"/>
        <v>0</v>
      </c>
      <c r="K32" s="2"/>
      <c r="L32" s="3"/>
    </row>
    <row r="33" spans="1:12" x14ac:dyDescent="0.35">
      <c r="A33" t="s">
        <v>37</v>
      </c>
      <c r="B33" t="s">
        <v>34</v>
      </c>
      <c r="C33" t="str">
        <f t="shared" si="2"/>
        <v>neg</v>
      </c>
      <c r="D33">
        <f t="shared" si="3"/>
        <v>0</v>
      </c>
      <c r="K33" s="2"/>
      <c r="L33" s="3"/>
    </row>
    <row r="34" spans="1:12" x14ac:dyDescent="0.35">
      <c r="A34" t="s">
        <v>42</v>
      </c>
      <c r="B34" t="s">
        <v>34</v>
      </c>
      <c r="C34" t="str">
        <f t="shared" si="2"/>
        <v>neg</v>
      </c>
      <c r="D34">
        <f t="shared" si="3"/>
        <v>0</v>
      </c>
      <c r="K34" s="2"/>
      <c r="L34" s="3"/>
    </row>
    <row r="35" spans="1:12" x14ac:dyDescent="0.35">
      <c r="A35" t="s">
        <v>37</v>
      </c>
      <c r="B35" t="s">
        <v>0</v>
      </c>
      <c r="C35" t="str">
        <f t="shared" si="2"/>
        <v>neg</v>
      </c>
      <c r="D35">
        <f t="shared" si="3"/>
        <v>0</v>
      </c>
      <c r="K35" s="2"/>
      <c r="L35" s="3"/>
    </row>
    <row r="36" spans="1:12" x14ac:dyDescent="0.35">
      <c r="A36" t="s">
        <v>54</v>
      </c>
      <c r="B36" t="s">
        <v>0</v>
      </c>
      <c r="C36" t="str">
        <f t="shared" si="2"/>
        <v>neg</v>
      </c>
      <c r="D36">
        <f t="shared" si="3"/>
        <v>0</v>
      </c>
      <c r="K36" s="2"/>
      <c r="L36" s="3"/>
    </row>
    <row r="37" spans="1:12" x14ac:dyDescent="0.35">
      <c r="A37" t="s">
        <v>40</v>
      </c>
      <c r="B37" t="s">
        <v>0</v>
      </c>
      <c r="C37" t="str">
        <f t="shared" si="2"/>
        <v>neg</v>
      </c>
      <c r="D37">
        <f t="shared" si="3"/>
        <v>0</v>
      </c>
      <c r="K37" s="2"/>
      <c r="L37" s="3"/>
    </row>
    <row r="38" spans="1:12" x14ac:dyDescent="0.35">
      <c r="A38" t="s">
        <v>47</v>
      </c>
      <c r="B38" t="s">
        <v>0</v>
      </c>
      <c r="C38" t="str">
        <f t="shared" si="2"/>
        <v>neg</v>
      </c>
      <c r="D38">
        <f t="shared" si="3"/>
        <v>0</v>
      </c>
      <c r="K38" s="2"/>
      <c r="L38" s="3"/>
    </row>
    <row r="39" spans="1:12" x14ac:dyDescent="0.35">
      <c r="A39" t="s">
        <v>55</v>
      </c>
      <c r="B39" t="s">
        <v>0</v>
      </c>
      <c r="C39" t="str">
        <f t="shared" si="2"/>
        <v>neg</v>
      </c>
      <c r="D39">
        <f t="shared" si="3"/>
        <v>0</v>
      </c>
      <c r="K39" s="2"/>
      <c r="L39" s="3"/>
    </row>
    <row r="40" spans="1:12" x14ac:dyDescent="0.35">
      <c r="A40" t="s">
        <v>42</v>
      </c>
      <c r="B40" t="s">
        <v>0</v>
      </c>
      <c r="C40" t="str">
        <f t="shared" si="2"/>
        <v>neg</v>
      </c>
      <c r="D40">
        <f t="shared" si="3"/>
        <v>0</v>
      </c>
      <c r="K40" s="2"/>
      <c r="L40" s="3"/>
    </row>
    <row r="41" spans="1:12" x14ac:dyDescent="0.35">
      <c r="A41" t="s">
        <v>55</v>
      </c>
      <c r="B41" t="s">
        <v>0</v>
      </c>
      <c r="C41" t="str">
        <f t="shared" si="2"/>
        <v>neg</v>
      </c>
      <c r="D41">
        <f t="shared" si="3"/>
        <v>0</v>
      </c>
      <c r="K41" s="2"/>
      <c r="L41" s="3"/>
    </row>
    <row r="42" spans="1:12" x14ac:dyDescent="0.35">
      <c r="A42" t="s">
        <v>56</v>
      </c>
      <c r="B42" t="s">
        <v>0</v>
      </c>
      <c r="C42" t="str">
        <f t="shared" si="2"/>
        <v>neg</v>
      </c>
      <c r="D42">
        <f t="shared" si="3"/>
        <v>0</v>
      </c>
      <c r="K42" s="2"/>
      <c r="L42" s="3"/>
    </row>
    <row r="43" spans="1:12" x14ac:dyDescent="0.35">
      <c r="A43" t="s">
        <v>57</v>
      </c>
      <c r="B43" t="s">
        <v>0</v>
      </c>
      <c r="C43" t="str">
        <f t="shared" si="2"/>
        <v>neg</v>
      </c>
      <c r="D43">
        <f t="shared" si="3"/>
        <v>0</v>
      </c>
      <c r="K43" s="2"/>
      <c r="L43" s="3"/>
    </row>
    <row r="44" spans="1:12" x14ac:dyDescent="0.35">
      <c r="A44" t="s">
        <v>46</v>
      </c>
      <c r="B44" t="s">
        <v>0</v>
      </c>
      <c r="C44" t="str">
        <f t="shared" si="2"/>
        <v>neg</v>
      </c>
      <c r="D44">
        <f t="shared" si="3"/>
        <v>0</v>
      </c>
      <c r="K44" s="2"/>
      <c r="L44" s="3"/>
    </row>
    <row r="45" spans="1:12" x14ac:dyDescent="0.35">
      <c r="A45" t="s">
        <v>43</v>
      </c>
      <c r="B45" t="s">
        <v>0</v>
      </c>
      <c r="C45" t="str">
        <f t="shared" si="2"/>
        <v>neg</v>
      </c>
      <c r="D45">
        <f t="shared" si="3"/>
        <v>0</v>
      </c>
      <c r="K45" s="2"/>
      <c r="L4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Starinskij</dc:creator>
  <cp:lastModifiedBy>Igor Starinskij (PGR)</cp:lastModifiedBy>
  <dcterms:created xsi:type="dcterms:W3CDTF">2026-09-07T17:47:26Z</dcterms:created>
  <dcterms:modified xsi:type="dcterms:W3CDTF">2026-09-28T16:49:45Z</dcterms:modified>
</cp:coreProperties>
</file>